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声屏障画册案例汇总" sheetId="2" r:id="rId1"/>
    <sheet name="声屏障画册案例汇总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<sst xmlns="http://schemas.openxmlformats.org/spreadsheetml/2006/main" count="704" uniqueCount="227">
  <si>
    <t>序号</t>
  </si>
  <si>
    <t>项目名称</t>
  </si>
  <si>
    <t>国家/城市</t>
  </si>
  <si>
    <t>应用场景</t>
  </si>
  <si>
    <t>合作方</t>
  </si>
  <si>
    <t>工期</t>
  </si>
  <si>
    <t>总长度(m)</t>
  </si>
  <si>
    <t>设计高度(m)</t>
  </si>
  <si>
    <t>总面积(㎡)</t>
  </si>
  <si>
    <t>降噪指标</t>
  </si>
  <si>
    <t>抗风等级</t>
  </si>
  <si>
    <t>耐温等级</t>
  </si>
  <si>
    <t>工况难点</t>
  </si>
  <si>
    <t>产品型号</t>
  </si>
  <si>
    <t>材质</t>
  </si>
  <si>
    <t>工艺</t>
  </si>
  <si>
    <t>定制设计</t>
  </si>
  <si>
    <t>施工流程</t>
  </si>
  <si>
    <t>完工效果</t>
  </si>
  <si>
    <t>验收结论</t>
  </si>
  <si>
    <t>客户评价</t>
  </si>
  <si>
    <t>认证证书</t>
  </si>
  <si>
    <t>检测报告</t>
  </si>
  <si>
    <t>实拍图片合集</t>
  </si>
  <si>
    <t>广深高速深圳段(虎背山隧道—皇岗口岸)声屏障工程</t>
  </si>
  <si>
    <t>中国/深圳</t>
  </si>
  <si>
    <t>高速公路</t>
  </si>
  <si>
    <t>待补充</t>
  </si>
  <si>
    <t>2.4-5.16</t>
  </si>
  <si>
    <t>空气计权隔声量Rw&gt;32dB(A)，吸声组件降噪系数NRC&gt;0.70</t>
  </si>
  <si>
    <t>深圳地区50年一遇，基本风压0.75kN/㎡，抗倾覆系数2.5，安全系数&gt;2.0</t>
  </si>
  <si>
    <t>公路与附近建筑物距离近，车辆噪音影响沿线居民，需严格控制噪音至规范要求</t>
  </si>
  <si>
    <t>YK-ZL直立式复合声屏障</t>
  </si>
  <si>
    <t>波浪形微孔岩、进口混凝土木屑、PMMA亚克力、复合金属穿孔吸音板；H型钢立柱Q345B 150x150mm</t>
  </si>
  <si>
    <t>模块化装配式、穿孔吸声、防腐处理、防水密封</t>
  </si>
  <si>
    <t>多材质组合适配不同路段降噪需求，钢立柱专项结构设计</t>
  </si>
  <si>
    <t>测量放线→基础/预埋件施工→立柱安装→屏体拼装→密封防水→验收</t>
  </si>
  <si>
    <t>噪音降至规范要求，有效改善沿线居民居住环境</t>
  </si>
  <si>
    <t>ISO9001/14001/45001、高新技术企业、AAA信用</t>
  </si>
  <si>
    <t>国家认可实验室出具的材料性能、声学性能检测报告</t>
  </si>
  <si>
    <t>项目全景、屏体细部、施工过程、检测现场</t>
  </si>
  <si>
    <t>深圳市东部过境高速公路工程声屏障项目</t>
  </si>
  <si>
    <t>高速公路（全封闭）</t>
  </si>
  <si>
    <t>平均隔声量≥35dB，平均吸声系数≥0.84，金属吸声板NRC≥0.7，Rw≥30dB</t>
  </si>
  <si>
    <t>设计基本风压0.9kN/㎡，抗震设防烈度7度</t>
  </si>
  <si>
    <t>主要行驶大型载重过境货柜车，噪声污染大，需全封闭降噪，同时兼顾景观效果</t>
  </si>
  <si>
    <t>YK-QF全封闭门式钢架声屏障</t>
  </si>
  <si>
    <t>轻型门式钢架、金属吸声板、15mm透明加筋亚克力PMMA板</t>
  </si>
  <si>
    <t>全封闭防水设计、桁架焊接防腐、模块化装配</t>
  </si>
  <si>
    <t>全封闭结构专项设计，兼顾降噪与景观效果，适配大型货车通行</t>
  </si>
  <si>
    <t>测量放线→钢架基础施工→门式钢架吊装→屏体拼装→密封防水→验收</t>
  </si>
  <si>
    <t>有效降低货柜车通行噪音，为深圳道路增添景观效果</t>
  </si>
  <si>
    <t>南坪快速路北行香瑞园路段声屏障更新改造工程</t>
  </si>
  <si>
    <t>城市快速路</t>
  </si>
  <si>
    <t>设计降噪分贝70-55dB，空气计权隔声量Rw≥32dB</t>
  </si>
  <si>
    <t>设计风荷载0.75kN/㎡，钢立柱稳定性1/1940，抗倾覆系数2.5，安全系数≥2.0</t>
  </si>
  <si>
    <t>现状声屏障锈蚀老旧，吸声效果降低，需在原有基础及立柱上拆除重建，不影响现有交通</t>
  </si>
  <si>
    <t>15mm厚PMMA亚克力、微孔岩；H型钢立柱Q345B HM150x150x7x11mm</t>
  </si>
  <si>
    <t>适配原有基础及立柱尺寸，无需重新施工基础</t>
  </si>
  <si>
    <t>旧屏体拆除→基础及立柱检测→新屏体拼装→密封防水→验收</t>
  </si>
  <si>
    <t>有效改善周围市民居住环境，完成道路设施景观提升</t>
  </si>
  <si>
    <t>北通道港中大上园段隔音屏工程</t>
  </si>
  <si>
    <t>城市快速路（全封闭）</t>
  </si>
  <si>
    <t>平均隔声量≥35dB，平均吸声系数≥0.84，金属吸声屏Rw≥36dB，NRC≥0.95，透明隔声板Rw≥35dB</t>
  </si>
  <si>
    <t>设计基本风压0.75kN/㎡，抗震设防烈度7度</t>
  </si>
  <si>
    <t>紧邻香港中文大学深圳校区，需严格控制噪音对教学环境的影响，同时兼顾景观效果</t>
  </si>
  <si>
    <t>YK-QF全封闭声屏障</t>
  </si>
  <si>
    <t>钢结构立柱、20mm透明隔声板PMMA、100mm金属吸声屏</t>
  </si>
  <si>
    <t>全封闭结构专项设计，兼顾降噪与校园景观协调</t>
  </si>
  <si>
    <t>测量放线→基础施工→钢结构立柱吊装→屏体拼装→密封防水→验收</t>
  </si>
  <si>
    <t>有效改善港中大教学环境，噪音控制在规范范围内</t>
  </si>
  <si>
    <t>莲塘口岸市政配套工程声屏障项目</t>
  </si>
  <si>
    <t>口岸市政配套（全封闭）</t>
  </si>
  <si>
    <t>平均隔声量≥35dB，平均吸声系数≥0.84</t>
  </si>
  <si>
    <t>口岸区域交通流量大，需兼顾降噪效果与口岸整体景观协调</t>
  </si>
  <si>
    <t>钢结构立柱、吸隔声屏板</t>
  </si>
  <si>
    <t>适配口岸区域整体规划，兼顾降噪与景观效果</t>
  </si>
  <si>
    <t>有效降低口岸区域交通噪音，与口岸整体景观协调</t>
  </si>
  <si>
    <t>深圳市葵涌环城西路声屏障工程</t>
  </si>
  <si>
    <t>城市道路</t>
  </si>
  <si>
    <t>金属吸声板NRC≥0.7，Rw≥30dB，透明亚克力板Rw≥30dB</t>
  </si>
  <si>
    <t>基本风压0.9kN/㎡，抗震设防烈度7度，结构安全等级一级</t>
  </si>
  <si>
    <t>广深高速路段，交通流量大，需严格控制噪音对沿线敏感点的影响</t>
  </si>
  <si>
    <t>YK-ZL直立式声屏障</t>
  </si>
  <si>
    <t>金属吸声板、15mm以上透明加筋亚克力隔声板</t>
  </si>
  <si>
    <t>适配道路沿线不同敏感点的降噪需求</t>
  </si>
  <si>
    <t>有效降低交通噪音，保护沿线声环境</t>
  </si>
  <si>
    <t>海南省万宁至洋浦高速公路声屏障工程</t>
  </si>
  <si>
    <t>中国/海南</t>
  </si>
  <si>
    <t>海南沿海地区，高温高湿高盐雾环境，对材料耐候性要求高</t>
  </si>
  <si>
    <t>金属吸声板、透明加筋亚克力隔声板</t>
  </si>
  <si>
    <t>适配海南沿海高盐雾环境的耐候性设计</t>
  </si>
  <si>
    <t>有效降低高速公路交通噪音，保护沿线声环境</t>
  </si>
  <si>
    <t>深圳外环高速公路深圳段工程声屏障项目</t>
  </si>
  <si>
    <t>吸声系数NRC≥0.84，隔声量Rw≥26dB</t>
  </si>
  <si>
    <t>深圳市外环快速干线，交通流量大，需严格控制噪音对沿线敏感点的影响</t>
  </si>
  <si>
    <t>金属吸声板</t>
  </si>
  <si>
    <t>适配高速公路不同路段的降噪需求</t>
  </si>
  <si>
    <t>深圳市驻港部队隔音屏工程</t>
  </si>
  <si>
    <t>部队营区配套</t>
  </si>
  <si>
    <t>基本风压0.75kN/㎡，抗震等级四级</t>
  </si>
  <si>
    <t>部队营区周边，对噪音控制要求高，需兼顾安全性与降噪效果</t>
  </si>
  <si>
    <t>钢立柱、金属吸声板、加筋亚克力隔声板</t>
  </si>
  <si>
    <t>4m高度专项结构设计，适配营区周边环境</t>
  </si>
  <si>
    <t>有效降低周边交通噪音，满足部队营区噪音控制要求</t>
  </si>
  <si>
    <t>福田区香蜜湖路隔音屏新建工程</t>
  </si>
  <si>
    <t>透明隔音板Rw≥25dB，金属吸音板NRC≥0.7，Rw≥25dB</t>
  </si>
  <si>
    <t>紧邻东海小学，需严格控制噪音对学校教学环境的影响，桥梁段施工空间受限</t>
  </si>
  <si>
    <t>15mm PC板、≥1mm铝合金板</t>
  </si>
  <si>
    <t>适配桥梁段施工空间，兼顾降噪与景观效果</t>
  </si>
  <si>
    <t>有效降低交通噪音，保护学校教学环境</t>
  </si>
  <si>
    <t>合正香蜜苑声屏障工程</t>
  </si>
  <si>
    <t>住宅小区配套</t>
  </si>
  <si>
    <t>北环大道交通噪音对住宅小区影响大，需在现有道路基础上增设声屏障，不影响现有交通</t>
  </si>
  <si>
    <t>金属吸音板、透明隔音板</t>
  </si>
  <si>
    <t>适配北环大道现有道路结构，分四段沿匝道布置</t>
  </si>
  <si>
    <t>有效降低北环大道交通噪音对住宅小区的影响</t>
  </si>
  <si>
    <t>佛山顺德里海立交工程声屏障项目</t>
  </si>
  <si>
    <t>中国/佛山</t>
  </si>
  <si>
    <t>城市立交</t>
  </si>
  <si>
    <t>3-4</t>
  </si>
  <si>
    <t>立交区域交通流量大，需兼顾降噪效果与行车景观协调性</t>
  </si>
  <si>
    <t>金属吸声板、透明亚克力板</t>
  </si>
  <si>
    <t>3m/4m不同高度适配，天蓝/草绿/乳白三色喷涂搭配，兼顾景观效果</t>
  </si>
  <si>
    <t>有效降低立交区域交通噪音，与周边环境协调美观</t>
  </si>
  <si>
    <t>广州市内环路高架桥及沿线工程声屏障项目</t>
  </si>
  <si>
    <t>中国/广州</t>
  </si>
  <si>
    <t>城市高架桥</t>
  </si>
  <si>
    <t>金属吸/隔音板Rw≥36dB，NRC≥0.95，透明隔声板Rw≥30dB</t>
  </si>
  <si>
    <t>广州主城区内环路及放射线高架桥，沿线敏感点多，需对既有隔声设施改造补建，同时新建多路段声屏障，施工不影响城市交通</t>
  </si>
  <si>
    <t>100mm金属吸/隔音板、10mm透明隔声板</t>
  </si>
  <si>
    <t>适配既有高架桥结构，不同路段定制不同降噪方案</t>
  </si>
  <si>
    <t>有效降低高架桥交通噪音，保护沿线敏感点声环境</t>
  </si>
  <si>
    <t>佛山市南庄干线道路隔音工程</t>
  </si>
  <si>
    <t>城市干线道路</t>
  </si>
  <si>
    <t>亚克力隔音板Rw≥30dB，泡沫铝吸声材料NRC≥0.75</t>
  </si>
  <si>
    <t>沿线有东村小学、东星村、九曲村、孔家新村、杏头小学和杏头幼儿园等多个敏感点，需严格控制噪音对学校和村落的影响</t>
  </si>
  <si>
    <t>12mm亚克力隔音板、5mm泡沫铝面板、1.2mm镀锌钢背板</t>
  </si>
  <si>
    <t>路基段与桥梁段不同方案适配，6处声屏障分别定制</t>
  </si>
  <si>
    <t>有效降低干线道路交通噪音，保护沿线学校和村落的声环境</t>
  </si>
  <si>
    <t>佛山市魁奇路东延线二期工程声屏障项目</t>
  </si>
  <si>
    <t>佛山市东西向重要交通走廊，交通流量大，需严格控制噪音对沿线敏感点的影响</t>
  </si>
  <si>
    <t>12mm亚克力隔音板、5mm通孔型泡沫铝吸声材料</t>
  </si>
  <si>
    <t>适配快速路沿线不同敏感点的降噪需求</t>
  </si>
  <si>
    <t>有效降低快速路交通噪音，保护沿线声环境</t>
  </si>
  <si>
    <t>雄楚大街立交改造工程声屏障项目</t>
  </si>
  <si>
    <t>中国/武汉</t>
  </si>
  <si>
    <t>城市快速路立交</t>
  </si>
  <si>
    <t>透明亚克力隔音板Rw≥30dB，泡沫铝吸声材料NRC≥0.8</t>
  </si>
  <si>
    <t>武汉主城区快速路，沿线两侧200m范围内有32个声环境保护目标，包括酒店、居民区、学校和医院等敏感点，需严格控制噪音影响</t>
  </si>
  <si>
    <t>10mm透明亚克力隔音板、4mm泡沫铝吸声材料</t>
  </si>
  <si>
    <t>适配沿线32个敏感点的不同降噪需求</t>
  </si>
  <si>
    <t>有效降低快速路交通噪音，保护沿线敏感点的声环境</t>
  </si>
  <si>
    <t>武汉鹦鹉洲长江大桥两岸接线工程声屏障项目</t>
  </si>
  <si>
    <t>长江大桥接线工程</t>
  </si>
  <si>
    <t>长江大桥接线工程，交通流量大，需严格控制噪音对沿线敏感点的影响</t>
  </si>
  <si>
    <t>适配大桥接线工程的结构与降噪需求</t>
  </si>
  <si>
    <t>有效降低接线工程交通噪音，保护沿线声环境</t>
  </si>
  <si>
    <t>项目简称</t>
  </si>
  <si>
    <t>工况难点-施工限制</t>
  </si>
  <si>
    <t>工况难点-客户特殊要求</t>
  </si>
  <si>
    <t>广深高速深圳段</t>
  </si>
  <si>
    <t>国内知名交通基建总包/市政交通部门</t>
  </si>
  <si>
    <t>2.4/5.16</t>
  </si>
  <si>
    <t>符合声屏障行业耐温要求</t>
  </si>
  <si>
    <t>高速半封闭、交通导改、夜间施工</t>
  </si>
  <si>
    <t>高隔声、低维护、与高速景观协调</t>
  </si>
  <si>
    <t>深圳东部过境</t>
  </si>
  <si>
    <t>设计基本风压0.8kN/㎡，抗震设防烈度7度</t>
  </si>
  <si>
    <t>高隔声、低维护、与自然景观协调</t>
  </si>
  <si>
    <t>南坪香瑞园</t>
  </si>
  <si>
    <t>国内知名市政/基建总包单位</t>
  </si>
  <si>
    <t>设计风荷载0.75kN/㎡，钢立柱稳定性1/1240，抗倾覆系数2.5，安全系数≥2.0</t>
  </si>
  <si>
    <t>快速路半封闭、交通导改、夜间施工</t>
  </si>
  <si>
    <t>高隔声、景观融合、低维护</t>
  </si>
  <si>
    <t>YK-ZL复合声屏障</t>
  </si>
  <si>
    <t>龙岗北通道</t>
  </si>
  <si>
    <t>14.8/23.5</t>
  </si>
  <si>
    <t>高隔声、景观融合、与校园风貌协调</t>
  </si>
  <si>
    <t>莲塘口岸</t>
  </si>
  <si>
    <t>设计风荷载0.75kN/㎡，钢立柱稳定性1/1340，抗倾覆系数2.5，安全系数≥2.0</t>
  </si>
  <si>
    <t>口岸施工、高空作业、交通导改、夜间施工</t>
  </si>
  <si>
    <t>高隔声、高安全性、景观融合、与口岸风貌协调</t>
  </si>
  <si>
    <t>YK-QF全封闭声屏障
YK-BF半封闭声屏障</t>
  </si>
  <si>
    <t>钢结构、20mm透明隔声板PMMA、100mm金属吸声屏</t>
  </si>
  <si>
    <t>葵涌环城西路</t>
  </si>
  <si>
    <t>基本风压0.75kN/㎡，抗震设防烈度7度，结构安全等级一级</t>
  </si>
  <si>
    <t>城市道路半封闭、交通导改</t>
  </si>
  <si>
    <t>高隔声、景观融合</t>
  </si>
  <si>
    <t>YK-ZL顶部弧形复合型声屏障</t>
  </si>
  <si>
    <t>海南省万洋</t>
  </si>
  <si>
    <t>2/2.5/3</t>
  </si>
  <si>
    <t>高隔声、耐盐雾、低维护、与自然景观协调</t>
  </si>
  <si>
    <t>YK-ZL直立复合型声屏障</t>
  </si>
  <si>
    <t>金属吸声板、15mm透明加筋亚克力隔声板</t>
  </si>
  <si>
    <t>深外环24标高速路</t>
  </si>
  <si>
    <t>YK-ZL直立式铝合金声屏障</t>
  </si>
  <si>
    <t>金属吸声板、15mm以上透明亚克力隔声板</t>
  </si>
  <si>
    <t>驻港部队</t>
  </si>
  <si>
    <t>金属吸声板NRC≥0.7，Rw≥30dB</t>
  </si>
  <si>
    <t>基本风压0.75kN/㎡，抗震等级五级</t>
  </si>
  <si>
    <t>市政道路半封闭、交通导改、夜间施工</t>
  </si>
  <si>
    <t>高隔声、高安全性、景观协调</t>
  </si>
  <si>
    <t>YK-ZL镀锌金属声屏障</t>
  </si>
  <si>
    <t>钢立柱、金属吸声板、18mm加筋亚克力隔声板</t>
  </si>
  <si>
    <t>香蜜湖</t>
  </si>
  <si>
    <t>透明隔音板Rw≥25dB，Rw≥25dB</t>
  </si>
  <si>
    <t>城市主干道半封闭、交通导改、夜间施工</t>
  </si>
  <si>
    <t>高隔声、景观融合、与城市风貌协调</t>
  </si>
  <si>
    <t>YK-ZL透明亚克力声屏障</t>
  </si>
  <si>
    <t>20mm 亚克力板、≥1mm铝合金板</t>
  </si>
  <si>
    <t>内环路1、2、3标段</t>
  </si>
  <si>
    <t>2.5/3.5</t>
  </si>
  <si>
    <t>高架施工、高空作业、交通导改、夜间施工</t>
  </si>
  <si>
    <t>高隔声、低维护、与城市景观协调</t>
  </si>
  <si>
    <t>YK-ZL铝合金声屏障</t>
  </si>
  <si>
    <t>南庄干线</t>
  </si>
  <si>
    <t>高隔声、低维护</t>
  </si>
  <si>
    <t>钢结构、12mm亚克力隔音板、5mm泡沫铝面板、1.2mm镀锌钢背板</t>
  </si>
  <si>
    <t>魁奇路</t>
  </si>
  <si>
    <t>高隔声、低维护、与道路景观协调</t>
  </si>
  <si>
    <t>钢结构、12mm亚克力隔音板、5mm通孔型泡沫铝吸声材料</t>
  </si>
  <si>
    <t>雄楚立交</t>
  </si>
  <si>
    <t>钢结构、10mm透明亚克力隔音板、4mm泡沫铝吸声材料</t>
  </si>
  <si>
    <t>鹦鹉洲长江大桥</t>
  </si>
  <si>
    <t>大桥接线施工、高空作业、交通导改、夜间施工</t>
  </si>
  <si>
    <t>高隔声、景观融合、与大桥风貌协调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</si>
</sst>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333333"/>
      <name val="Archivo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8245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8"/>
  <sheetViews>
    <sheetView workbookViewId="0">
      <pane ySplit="1" topLeftCell="A2" activePane="bottomLeft" state="frozen"/>
      <selection/>
      <selection pane="bottomLeft" activeCell="B15" sqref="B15"/>
    </sheetView>
  </sheetViews>
  <sheetFormatPr defaultColWidth="14" defaultRowHeight="12.75"/>
  <cols>
    <col min="1" max="1" width="7" customWidth="1"/>
    <col min="2" max="2" width="48.7142857142857" customWidth="1"/>
    <col min="3" max="3" width="13" customWidth="1"/>
    <col min="4" max="4" width="19" customWidth="1"/>
    <col min="5" max="5" width="13" customWidth="1"/>
    <col min="6" max="6" width="11" customWidth="1"/>
    <col min="7" max="9" width="13" customWidth="1"/>
    <col min="10" max="10" width="35" customWidth="1"/>
    <col min="11" max="11" width="31" customWidth="1"/>
    <col min="12" max="12" width="13" customWidth="1"/>
    <col min="13" max="13" width="41" customWidth="1"/>
    <col min="14" max="14" width="25" customWidth="1"/>
    <col min="15" max="15" width="41" customWidth="1"/>
    <col min="16" max="16" width="31" customWidth="1"/>
    <col min="17" max="18" width="35" customWidth="1"/>
    <col min="19" max="19" width="31" customWidth="1"/>
    <col min="20" max="21" width="13" customWidth="1"/>
    <col min="22" max="22" width="31" customWidth="1"/>
    <col min="23" max="23" width="35" customWidth="1"/>
    <col min="24" max="24" width="31" customWidth="1"/>
  </cols>
  <sheetData>
    <row r="1" ht="15" customHeight="1" spans="1:2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ht="15" customHeight="1" spans="1:24">
      <c r="A2" s="9">
        <v>1</v>
      </c>
      <c r="B2" s="9" t="s">
        <v>24</v>
      </c>
      <c r="C2" s="9" t="s">
        <v>25</v>
      </c>
      <c r="D2" s="9" t="s">
        <v>26</v>
      </c>
      <c r="E2" s="9" t="s">
        <v>27</v>
      </c>
      <c r="F2" s="9" t="s">
        <v>27</v>
      </c>
      <c r="G2" s="9">
        <v>6115.5</v>
      </c>
      <c r="H2" s="9" t="s">
        <v>28</v>
      </c>
      <c r="I2" s="9" t="s">
        <v>27</v>
      </c>
      <c r="J2" s="9" t="s">
        <v>29</v>
      </c>
      <c r="K2" s="9" t="s">
        <v>30</v>
      </c>
      <c r="L2" s="9" t="s">
        <v>27</v>
      </c>
      <c r="M2" s="9" t="s">
        <v>31</v>
      </c>
      <c r="N2" s="9" t="s">
        <v>32</v>
      </c>
      <c r="O2" s="9" t="s">
        <v>33</v>
      </c>
      <c r="P2" s="9" t="s">
        <v>34</v>
      </c>
      <c r="Q2" s="9" t="s">
        <v>35</v>
      </c>
      <c r="R2" s="9" t="s">
        <v>36</v>
      </c>
      <c r="S2" s="9" t="s">
        <v>37</v>
      </c>
      <c r="T2" s="9" t="s">
        <v>27</v>
      </c>
      <c r="U2" s="9" t="s">
        <v>27</v>
      </c>
      <c r="V2" s="9" t="s">
        <v>38</v>
      </c>
      <c r="W2" s="9" t="s">
        <v>39</v>
      </c>
      <c r="X2" s="9" t="s">
        <v>40</v>
      </c>
    </row>
    <row r="3" ht="15" customHeight="1" spans="1:24">
      <c r="A3" s="10">
        <v>2</v>
      </c>
      <c r="B3" s="10" t="s">
        <v>41</v>
      </c>
      <c r="C3" s="10" t="s">
        <v>25</v>
      </c>
      <c r="D3" s="10" t="s">
        <v>42</v>
      </c>
      <c r="E3" s="10" t="s">
        <v>27</v>
      </c>
      <c r="F3" s="10" t="s">
        <v>27</v>
      </c>
      <c r="G3" s="10">
        <v>460</v>
      </c>
      <c r="H3" s="10" t="s">
        <v>27</v>
      </c>
      <c r="I3" s="10" t="s">
        <v>27</v>
      </c>
      <c r="J3" s="10" t="s">
        <v>43</v>
      </c>
      <c r="K3" s="10" t="s">
        <v>44</v>
      </c>
      <c r="L3" s="10" t="s">
        <v>27</v>
      </c>
      <c r="M3" s="10" t="s">
        <v>45</v>
      </c>
      <c r="N3" s="10" t="s">
        <v>46</v>
      </c>
      <c r="O3" s="10" t="s">
        <v>47</v>
      </c>
      <c r="P3" s="10" t="s">
        <v>48</v>
      </c>
      <c r="Q3" s="10" t="s">
        <v>49</v>
      </c>
      <c r="R3" s="10" t="s">
        <v>50</v>
      </c>
      <c r="S3" s="10" t="s">
        <v>51</v>
      </c>
      <c r="T3" s="10" t="s">
        <v>27</v>
      </c>
      <c r="U3" s="10" t="s">
        <v>27</v>
      </c>
      <c r="V3" s="10" t="s">
        <v>38</v>
      </c>
      <c r="W3" s="10" t="s">
        <v>39</v>
      </c>
      <c r="X3" s="10" t="s">
        <v>40</v>
      </c>
    </row>
    <row r="4" ht="15" customHeight="1" spans="1:24">
      <c r="A4" s="9">
        <v>3</v>
      </c>
      <c r="B4" s="9" t="s">
        <v>52</v>
      </c>
      <c r="C4" s="9" t="s">
        <v>25</v>
      </c>
      <c r="D4" s="9" t="s">
        <v>53</v>
      </c>
      <c r="E4" s="9" t="s">
        <v>27</v>
      </c>
      <c r="F4" s="9" t="s">
        <v>27</v>
      </c>
      <c r="G4" s="9">
        <v>325</v>
      </c>
      <c r="H4" s="9" t="s">
        <v>27</v>
      </c>
      <c r="I4" s="9" t="s">
        <v>27</v>
      </c>
      <c r="J4" s="9" t="s">
        <v>54</v>
      </c>
      <c r="K4" s="9" t="s">
        <v>55</v>
      </c>
      <c r="L4" s="9" t="s">
        <v>27</v>
      </c>
      <c r="M4" s="9" t="s">
        <v>56</v>
      </c>
      <c r="N4" s="9" t="s">
        <v>32</v>
      </c>
      <c r="O4" s="9" t="s">
        <v>57</v>
      </c>
      <c r="P4" s="9" t="s">
        <v>34</v>
      </c>
      <c r="Q4" s="9" t="s">
        <v>58</v>
      </c>
      <c r="R4" s="9" t="s">
        <v>59</v>
      </c>
      <c r="S4" s="9" t="s">
        <v>60</v>
      </c>
      <c r="T4" s="9" t="s">
        <v>27</v>
      </c>
      <c r="U4" s="9" t="s">
        <v>27</v>
      </c>
      <c r="V4" s="9" t="s">
        <v>38</v>
      </c>
      <c r="W4" s="9" t="s">
        <v>39</v>
      </c>
      <c r="X4" s="9" t="s">
        <v>40</v>
      </c>
    </row>
    <row r="5" ht="15" customHeight="1" spans="1:24">
      <c r="A5" s="10">
        <v>4</v>
      </c>
      <c r="B5" s="10" t="s">
        <v>61</v>
      </c>
      <c r="C5" s="10" t="s">
        <v>25</v>
      </c>
      <c r="D5" s="10" t="s">
        <v>62</v>
      </c>
      <c r="E5" s="10" t="s">
        <v>27</v>
      </c>
      <c r="F5" s="10" t="s">
        <v>27</v>
      </c>
      <c r="G5" s="10">
        <v>330</v>
      </c>
      <c r="H5" s="10" t="s">
        <v>27</v>
      </c>
      <c r="I5" s="10" t="s">
        <v>27</v>
      </c>
      <c r="J5" s="10" t="s">
        <v>63</v>
      </c>
      <c r="K5" s="10" t="s">
        <v>64</v>
      </c>
      <c r="L5" s="10" t="s">
        <v>27</v>
      </c>
      <c r="M5" s="10" t="s">
        <v>65</v>
      </c>
      <c r="N5" s="10" t="s">
        <v>66</v>
      </c>
      <c r="O5" s="10" t="s">
        <v>67</v>
      </c>
      <c r="P5" s="10" t="s">
        <v>48</v>
      </c>
      <c r="Q5" s="10" t="s">
        <v>68</v>
      </c>
      <c r="R5" s="10" t="s">
        <v>69</v>
      </c>
      <c r="S5" s="10" t="s">
        <v>70</v>
      </c>
      <c r="T5" s="10" t="s">
        <v>27</v>
      </c>
      <c r="U5" s="10" t="s">
        <v>27</v>
      </c>
      <c r="V5" s="10" t="s">
        <v>38</v>
      </c>
      <c r="W5" s="10" t="s">
        <v>39</v>
      </c>
      <c r="X5" s="10" t="s">
        <v>40</v>
      </c>
    </row>
    <row r="6" ht="15" customHeight="1" spans="1:24">
      <c r="A6" s="9">
        <v>5</v>
      </c>
      <c r="B6" s="9" t="s">
        <v>71</v>
      </c>
      <c r="C6" s="9" t="s">
        <v>25</v>
      </c>
      <c r="D6" s="9" t="s">
        <v>72</v>
      </c>
      <c r="E6" s="9" t="s">
        <v>27</v>
      </c>
      <c r="F6" s="9" t="s">
        <v>27</v>
      </c>
      <c r="G6" s="9" t="s">
        <v>27</v>
      </c>
      <c r="H6" s="9" t="s">
        <v>27</v>
      </c>
      <c r="I6" s="9" t="s">
        <v>27</v>
      </c>
      <c r="J6" s="9" t="s">
        <v>73</v>
      </c>
      <c r="K6" s="9" t="s">
        <v>27</v>
      </c>
      <c r="L6" s="9" t="s">
        <v>27</v>
      </c>
      <c r="M6" s="9" t="s">
        <v>74</v>
      </c>
      <c r="N6" s="9" t="s">
        <v>66</v>
      </c>
      <c r="O6" s="9" t="s">
        <v>75</v>
      </c>
      <c r="P6" s="9" t="s">
        <v>48</v>
      </c>
      <c r="Q6" s="9" t="s">
        <v>76</v>
      </c>
      <c r="R6" s="9" t="s">
        <v>69</v>
      </c>
      <c r="S6" s="9" t="s">
        <v>77</v>
      </c>
      <c r="T6" s="9" t="s">
        <v>27</v>
      </c>
      <c r="U6" s="9" t="s">
        <v>27</v>
      </c>
      <c r="V6" s="9" t="s">
        <v>38</v>
      </c>
      <c r="W6" s="9" t="s">
        <v>39</v>
      </c>
      <c r="X6" s="9" t="s">
        <v>40</v>
      </c>
    </row>
    <row r="7" ht="15" customHeight="1" spans="1:24">
      <c r="A7" s="10">
        <v>6</v>
      </c>
      <c r="B7" s="10" t="s">
        <v>78</v>
      </c>
      <c r="C7" s="10" t="s">
        <v>25</v>
      </c>
      <c r="D7" s="10" t="s">
        <v>79</v>
      </c>
      <c r="E7" s="10" t="s">
        <v>27</v>
      </c>
      <c r="F7" s="10" t="s">
        <v>27</v>
      </c>
      <c r="G7" s="10" t="s">
        <v>27</v>
      </c>
      <c r="H7" s="10" t="s">
        <v>27</v>
      </c>
      <c r="I7" s="10" t="s">
        <v>27</v>
      </c>
      <c r="J7" s="10" t="s">
        <v>80</v>
      </c>
      <c r="K7" s="10" t="s">
        <v>81</v>
      </c>
      <c r="L7" s="10" t="s">
        <v>27</v>
      </c>
      <c r="M7" s="10" t="s">
        <v>82</v>
      </c>
      <c r="N7" s="10" t="s">
        <v>83</v>
      </c>
      <c r="O7" s="10" t="s">
        <v>84</v>
      </c>
      <c r="P7" s="10" t="s">
        <v>34</v>
      </c>
      <c r="Q7" s="10" t="s">
        <v>85</v>
      </c>
      <c r="R7" s="10" t="s">
        <v>36</v>
      </c>
      <c r="S7" s="10" t="s">
        <v>86</v>
      </c>
      <c r="T7" s="10" t="s">
        <v>27</v>
      </c>
      <c r="U7" s="10" t="s">
        <v>27</v>
      </c>
      <c r="V7" s="10" t="s">
        <v>38</v>
      </c>
      <c r="W7" s="10" t="s">
        <v>39</v>
      </c>
      <c r="X7" s="10" t="s">
        <v>40</v>
      </c>
    </row>
    <row r="8" ht="15" customHeight="1" spans="1:24">
      <c r="A8" s="9">
        <v>7</v>
      </c>
      <c r="B8" s="9" t="s">
        <v>87</v>
      </c>
      <c r="C8" s="9" t="s">
        <v>88</v>
      </c>
      <c r="D8" s="9" t="s">
        <v>26</v>
      </c>
      <c r="E8" s="9" t="s">
        <v>27</v>
      </c>
      <c r="F8" s="9" t="s">
        <v>27</v>
      </c>
      <c r="G8" s="9" t="s">
        <v>27</v>
      </c>
      <c r="H8" s="9" t="s">
        <v>27</v>
      </c>
      <c r="I8" s="9" t="s">
        <v>27</v>
      </c>
      <c r="J8" s="9" t="s">
        <v>80</v>
      </c>
      <c r="K8" s="9" t="s">
        <v>27</v>
      </c>
      <c r="L8" s="9" t="s">
        <v>27</v>
      </c>
      <c r="M8" s="9" t="s">
        <v>89</v>
      </c>
      <c r="N8" s="9" t="s">
        <v>83</v>
      </c>
      <c r="O8" s="9" t="s">
        <v>90</v>
      </c>
      <c r="P8" s="9" t="s">
        <v>34</v>
      </c>
      <c r="Q8" s="9" t="s">
        <v>91</v>
      </c>
      <c r="R8" s="9" t="s">
        <v>36</v>
      </c>
      <c r="S8" s="9" t="s">
        <v>92</v>
      </c>
      <c r="T8" s="9" t="s">
        <v>27</v>
      </c>
      <c r="U8" s="9" t="s">
        <v>27</v>
      </c>
      <c r="V8" s="9" t="s">
        <v>38</v>
      </c>
      <c r="W8" s="9" t="s">
        <v>39</v>
      </c>
      <c r="X8" s="9" t="s">
        <v>40</v>
      </c>
    </row>
    <row r="9" ht="15" customHeight="1" spans="1:24">
      <c r="A9" s="10">
        <v>8</v>
      </c>
      <c r="B9" s="10" t="s">
        <v>93</v>
      </c>
      <c r="C9" s="10" t="s">
        <v>25</v>
      </c>
      <c r="D9" s="10" t="s">
        <v>26</v>
      </c>
      <c r="E9" s="10" t="s">
        <v>27</v>
      </c>
      <c r="F9" s="10" t="s">
        <v>27</v>
      </c>
      <c r="G9" s="10" t="s">
        <v>27</v>
      </c>
      <c r="H9" s="10" t="s">
        <v>27</v>
      </c>
      <c r="I9" s="10" t="s">
        <v>27</v>
      </c>
      <c r="J9" s="10" t="s">
        <v>94</v>
      </c>
      <c r="K9" s="10" t="s">
        <v>27</v>
      </c>
      <c r="L9" s="10" t="s">
        <v>27</v>
      </c>
      <c r="M9" s="10" t="s">
        <v>95</v>
      </c>
      <c r="N9" s="10" t="s">
        <v>83</v>
      </c>
      <c r="O9" s="10" t="s">
        <v>96</v>
      </c>
      <c r="P9" s="10" t="s">
        <v>34</v>
      </c>
      <c r="Q9" s="10" t="s">
        <v>97</v>
      </c>
      <c r="R9" s="10" t="s">
        <v>36</v>
      </c>
      <c r="S9" s="10" t="s">
        <v>86</v>
      </c>
      <c r="T9" s="10" t="s">
        <v>27</v>
      </c>
      <c r="U9" s="10" t="s">
        <v>27</v>
      </c>
      <c r="V9" s="10" t="s">
        <v>38</v>
      </c>
      <c r="W9" s="10" t="s">
        <v>39</v>
      </c>
      <c r="X9" s="10" t="s">
        <v>40</v>
      </c>
    </row>
    <row r="10" ht="15" customHeight="1" spans="1:24">
      <c r="A10" s="9">
        <v>9</v>
      </c>
      <c r="B10" s="9" t="s">
        <v>98</v>
      </c>
      <c r="C10" s="9" t="s">
        <v>25</v>
      </c>
      <c r="D10" s="9" t="s">
        <v>99</v>
      </c>
      <c r="E10" s="9" t="s">
        <v>27</v>
      </c>
      <c r="F10" s="9" t="s">
        <v>27</v>
      </c>
      <c r="G10" s="9" t="s">
        <v>27</v>
      </c>
      <c r="H10" s="9">
        <v>4</v>
      </c>
      <c r="I10" s="9" t="s">
        <v>27</v>
      </c>
      <c r="J10" s="9" t="s">
        <v>27</v>
      </c>
      <c r="K10" s="9" t="s">
        <v>100</v>
      </c>
      <c r="L10" s="9" t="s">
        <v>27</v>
      </c>
      <c r="M10" s="9" t="s">
        <v>101</v>
      </c>
      <c r="N10" s="9" t="s">
        <v>83</v>
      </c>
      <c r="O10" s="9" t="s">
        <v>102</v>
      </c>
      <c r="P10" s="9" t="s">
        <v>34</v>
      </c>
      <c r="Q10" s="9" t="s">
        <v>103</v>
      </c>
      <c r="R10" s="9" t="s">
        <v>36</v>
      </c>
      <c r="S10" s="9" t="s">
        <v>104</v>
      </c>
      <c r="T10" s="9" t="s">
        <v>27</v>
      </c>
      <c r="U10" s="9" t="s">
        <v>27</v>
      </c>
      <c r="V10" s="9" t="s">
        <v>38</v>
      </c>
      <c r="W10" s="9" t="s">
        <v>39</v>
      </c>
      <c r="X10" s="9" t="s">
        <v>40</v>
      </c>
    </row>
    <row r="11" ht="15" customHeight="1" spans="1:24">
      <c r="A11" s="10">
        <v>10</v>
      </c>
      <c r="B11" s="10" t="s">
        <v>105</v>
      </c>
      <c r="C11" s="10" t="s">
        <v>25</v>
      </c>
      <c r="D11" s="10" t="s">
        <v>79</v>
      </c>
      <c r="E11" s="10" t="s">
        <v>27</v>
      </c>
      <c r="F11" s="10" t="s">
        <v>27</v>
      </c>
      <c r="G11" s="10">
        <v>1220</v>
      </c>
      <c r="H11" s="10" t="s">
        <v>27</v>
      </c>
      <c r="I11" s="10" t="s">
        <v>27</v>
      </c>
      <c r="J11" s="10" t="s">
        <v>106</v>
      </c>
      <c r="K11" s="10" t="s">
        <v>27</v>
      </c>
      <c r="L11" s="10" t="s">
        <v>27</v>
      </c>
      <c r="M11" s="10" t="s">
        <v>107</v>
      </c>
      <c r="N11" s="10" t="s">
        <v>83</v>
      </c>
      <c r="O11" s="10" t="s">
        <v>108</v>
      </c>
      <c r="P11" s="10" t="s">
        <v>34</v>
      </c>
      <c r="Q11" s="10" t="s">
        <v>109</v>
      </c>
      <c r="R11" s="10" t="s">
        <v>36</v>
      </c>
      <c r="S11" s="10" t="s">
        <v>110</v>
      </c>
      <c r="T11" s="10" t="s">
        <v>27</v>
      </c>
      <c r="U11" s="10" t="s">
        <v>27</v>
      </c>
      <c r="V11" s="10" t="s">
        <v>38</v>
      </c>
      <c r="W11" s="10" t="s">
        <v>39</v>
      </c>
      <c r="X11" s="10" t="s">
        <v>40</v>
      </c>
    </row>
    <row r="12" ht="15" customHeight="1" spans="1:24">
      <c r="A12" s="9">
        <v>11</v>
      </c>
      <c r="B12" s="11" t="s">
        <v>111</v>
      </c>
      <c r="C12" s="9" t="s">
        <v>25</v>
      </c>
      <c r="D12" s="9" t="s">
        <v>112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113</v>
      </c>
      <c r="N12" s="9" t="s">
        <v>83</v>
      </c>
      <c r="O12" s="9" t="s">
        <v>114</v>
      </c>
      <c r="P12" s="9" t="s">
        <v>34</v>
      </c>
      <c r="Q12" s="9" t="s">
        <v>115</v>
      </c>
      <c r="R12" s="9" t="s">
        <v>36</v>
      </c>
      <c r="S12" s="9" t="s">
        <v>116</v>
      </c>
      <c r="T12" s="9" t="s">
        <v>27</v>
      </c>
      <c r="U12" s="9" t="s">
        <v>27</v>
      </c>
      <c r="V12" s="9" t="s">
        <v>38</v>
      </c>
      <c r="W12" s="9" t="s">
        <v>39</v>
      </c>
      <c r="X12" s="9" t="s">
        <v>40</v>
      </c>
    </row>
    <row r="13" ht="15" customHeight="1" spans="1:24">
      <c r="A13" s="10">
        <v>12</v>
      </c>
      <c r="B13" s="11" t="s">
        <v>117</v>
      </c>
      <c r="C13" s="10" t="s">
        <v>118</v>
      </c>
      <c r="D13" s="10" t="s">
        <v>119</v>
      </c>
      <c r="E13" s="10" t="s">
        <v>27</v>
      </c>
      <c r="F13" s="10" t="s">
        <v>27</v>
      </c>
      <c r="G13" s="10" t="s">
        <v>27</v>
      </c>
      <c r="H13" s="10" t="s">
        <v>120</v>
      </c>
      <c r="I13" s="10" t="s">
        <v>27</v>
      </c>
      <c r="J13" s="10" t="s">
        <v>27</v>
      </c>
      <c r="K13" s="10" t="s">
        <v>27</v>
      </c>
      <c r="L13" s="10" t="s">
        <v>27</v>
      </c>
      <c r="M13" s="10" t="s">
        <v>121</v>
      </c>
      <c r="N13" s="10" t="s">
        <v>83</v>
      </c>
      <c r="O13" s="10" t="s">
        <v>122</v>
      </c>
      <c r="P13" s="10" t="s">
        <v>34</v>
      </c>
      <c r="Q13" s="10" t="s">
        <v>123</v>
      </c>
      <c r="R13" s="10" t="s">
        <v>36</v>
      </c>
      <c r="S13" s="10" t="s">
        <v>124</v>
      </c>
      <c r="T13" s="10" t="s">
        <v>27</v>
      </c>
      <c r="U13" s="10" t="s">
        <v>27</v>
      </c>
      <c r="V13" s="10" t="s">
        <v>38</v>
      </c>
      <c r="W13" s="10" t="s">
        <v>39</v>
      </c>
      <c r="X13" s="10" t="s">
        <v>40</v>
      </c>
    </row>
    <row r="14" ht="15" customHeight="1" spans="1:24">
      <c r="A14" s="9">
        <v>13</v>
      </c>
      <c r="B14" s="9" t="s">
        <v>125</v>
      </c>
      <c r="C14" s="9" t="s">
        <v>126</v>
      </c>
      <c r="D14" s="9" t="s">
        <v>127</v>
      </c>
      <c r="E14" s="9" t="s">
        <v>27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128</v>
      </c>
      <c r="K14" s="9" t="s">
        <v>27</v>
      </c>
      <c r="L14" s="9" t="s">
        <v>27</v>
      </c>
      <c r="M14" s="9" t="s">
        <v>129</v>
      </c>
      <c r="N14" s="9" t="s">
        <v>83</v>
      </c>
      <c r="O14" s="9" t="s">
        <v>130</v>
      </c>
      <c r="P14" s="9" t="s">
        <v>34</v>
      </c>
      <c r="Q14" s="9" t="s">
        <v>131</v>
      </c>
      <c r="R14" s="9" t="s">
        <v>36</v>
      </c>
      <c r="S14" s="9" t="s">
        <v>132</v>
      </c>
      <c r="T14" s="9" t="s">
        <v>27</v>
      </c>
      <c r="U14" s="9" t="s">
        <v>27</v>
      </c>
      <c r="V14" s="9" t="s">
        <v>38</v>
      </c>
      <c r="W14" s="9" t="s">
        <v>39</v>
      </c>
      <c r="X14" s="9" t="s">
        <v>40</v>
      </c>
    </row>
    <row r="15" ht="15" customHeight="1" spans="1:24">
      <c r="A15" s="10">
        <v>14</v>
      </c>
      <c r="B15" s="10" t="s">
        <v>133</v>
      </c>
      <c r="C15" s="10" t="s">
        <v>118</v>
      </c>
      <c r="D15" s="10" t="s">
        <v>134</v>
      </c>
      <c r="E15" s="10" t="s">
        <v>27</v>
      </c>
      <c r="F15" s="10" t="s">
        <v>27</v>
      </c>
      <c r="G15" s="10">
        <v>2876</v>
      </c>
      <c r="H15" s="10" t="s">
        <v>27</v>
      </c>
      <c r="I15" s="10" t="s">
        <v>27</v>
      </c>
      <c r="J15" s="10" t="s">
        <v>135</v>
      </c>
      <c r="K15" s="10" t="s">
        <v>27</v>
      </c>
      <c r="L15" s="10" t="s">
        <v>27</v>
      </c>
      <c r="M15" s="10" t="s">
        <v>136</v>
      </c>
      <c r="N15" s="10" t="s">
        <v>83</v>
      </c>
      <c r="O15" s="10" t="s">
        <v>137</v>
      </c>
      <c r="P15" s="10" t="s">
        <v>34</v>
      </c>
      <c r="Q15" s="10" t="s">
        <v>138</v>
      </c>
      <c r="R15" s="10" t="s">
        <v>36</v>
      </c>
      <c r="S15" s="10" t="s">
        <v>139</v>
      </c>
      <c r="T15" s="10" t="s">
        <v>27</v>
      </c>
      <c r="U15" s="10" t="s">
        <v>27</v>
      </c>
      <c r="V15" s="10" t="s">
        <v>38</v>
      </c>
      <c r="W15" s="10" t="s">
        <v>39</v>
      </c>
      <c r="X15" s="10" t="s">
        <v>40</v>
      </c>
    </row>
    <row r="16" ht="15" customHeight="1" spans="1:24">
      <c r="A16" s="9">
        <v>15</v>
      </c>
      <c r="B16" s="9" t="s">
        <v>140</v>
      </c>
      <c r="C16" s="9" t="s">
        <v>118</v>
      </c>
      <c r="D16" s="9" t="s">
        <v>53</v>
      </c>
      <c r="E16" s="9" t="s">
        <v>27</v>
      </c>
      <c r="F16" s="9" t="s">
        <v>27</v>
      </c>
      <c r="G16" s="9" t="s">
        <v>27</v>
      </c>
      <c r="H16" s="9" t="s">
        <v>27</v>
      </c>
      <c r="I16" s="9" t="s">
        <v>27</v>
      </c>
      <c r="J16" s="9" t="s">
        <v>135</v>
      </c>
      <c r="K16" s="9" t="s">
        <v>27</v>
      </c>
      <c r="L16" s="9" t="s">
        <v>27</v>
      </c>
      <c r="M16" s="9" t="s">
        <v>141</v>
      </c>
      <c r="N16" s="9" t="s">
        <v>83</v>
      </c>
      <c r="O16" s="9" t="s">
        <v>142</v>
      </c>
      <c r="P16" s="9" t="s">
        <v>34</v>
      </c>
      <c r="Q16" s="9" t="s">
        <v>143</v>
      </c>
      <c r="R16" s="9" t="s">
        <v>36</v>
      </c>
      <c r="S16" s="9" t="s">
        <v>144</v>
      </c>
      <c r="T16" s="9" t="s">
        <v>27</v>
      </c>
      <c r="U16" s="9" t="s">
        <v>27</v>
      </c>
      <c r="V16" s="9" t="s">
        <v>38</v>
      </c>
      <c r="W16" s="9" t="s">
        <v>39</v>
      </c>
      <c r="X16" s="9" t="s">
        <v>40</v>
      </c>
    </row>
    <row r="17" ht="15" customHeight="1" spans="1:24">
      <c r="A17" s="10">
        <v>16</v>
      </c>
      <c r="B17" s="10" t="s">
        <v>145</v>
      </c>
      <c r="C17" s="10" t="s">
        <v>146</v>
      </c>
      <c r="D17" s="10" t="s">
        <v>147</v>
      </c>
      <c r="E17" s="10" t="s">
        <v>27</v>
      </c>
      <c r="F17" s="10" t="s">
        <v>27</v>
      </c>
      <c r="G17" s="10" t="s">
        <v>27</v>
      </c>
      <c r="H17" s="10" t="s">
        <v>27</v>
      </c>
      <c r="I17" s="10" t="s">
        <v>27</v>
      </c>
      <c r="J17" s="10" t="s">
        <v>148</v>
      </c>
      <c r="K17" s="10" t="s">
        <v>27</v>
      </c>
      <c r="L17" s="10" t="s">
        <v>27</v>
      </c>
      <c r="M17" s="10" t="s">
        <v>149</v>
      </c>
      <c r="N17" s="10" t="s">
        <v>83</v>
      </c>
      <c r="O17" s="10" t="s">
        <v>150</v>
      </c>
      <c r="P17" s="10" t="s">
        <v>34</v>
      </c>
      <c r="Q17" s="10" t="s">
        <v>151</v>
      </c>
      <c r="R17" s="10" t="s">
        <v>36</v>
      </c>
      <c r="S17" s="10" t="s">
        <v>152</v>
      </c>
      <c r="T17" s="10" t="s">
        <v>27</v>
      </c>
      <c r="U17" s="10" t="s">
        <v>27</v>
      </c>
      <c r="V17" s="10" t="s">
        <v>38</v>
      </c>
      <c r="W17" s="10" t="s">
        <v>39</v>
      </c>
      <c r="X17" s="10" t="s">
        <v>40</v>
      </c>
    </row>
    <row r="18" ht="15" customHeight="1" spans="1:24">
      <c r="A18" s="9">
        <v>17</v>
      </c>
      <c r="B18" s="9" t="s">
        <v>153</v>
      </c>
      <c r="C18" s="9" t="s">
        <v>146</v>
      </c>
      <c r="D18" s="9" t="s">
        <v>154</v>
      </c>
      <c r="E18" s="9" t="s">
        <v>27</v>
      </c>
      <c r="F18" s="9" t="s">
        <v>27</v>
      </c>
      <c r="G18" s="9" t="s">
        <v>27</v>
      </c>
      <c r="H18" s="9" t="s">
        <v>27</v>
      </c>
      <c r="I18" s="9" t="s">
        <v>27</v>
      </c>
      <c r="J18" s="9" t="s">
        <v>27</v>
      </c>
      <c r="K18" s="9" t="s">
        <v>27</v>
      </c>
      <c r="L18" s="9" t="s">
        <v>27</v>
      </c>
      <c r="M18" s="9" t="s">
        <v>155</v>
      </c>
      <c r="N18" s="9" t="s">
        <v>83</v>
      </c>
      <c r="O18" s="9" t="s">
        <v>122</v>
      </c>
      <c r="P18" s="9" t="s">
        <v>34</v>
      </c>
      <c r="Q18" s="9" t="s">
        <v>156</v>
      </c>
      <c r="R18" s="9" t="s">
        <v>36</v>
      </c>
      <c r="S18" s="9" t="s">
        <v>157</v>
      </c>
      <c r="T18" s="9" t="s">
        <v>27</v>
      </c>
      <c r="U18" s="9" t="s">
        <v>27</v>
      </c>
      <c r="V18" s="9" t="s">
        <v>38</v>
      </c>
      <c r="W18" s="9" t="s">
        <v>39</v>
      </c>
      <c r="X18" s="9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17"/>
  <sheetViews>
    <sheetView tabSelected="1" workbookViewId="0">
      <pane ySplit="1" topLeftCell="A2" activePane="bottomLeft" state="frozen"/>
      <selection/>
      <selection pane="bottomLeft" activeCell="X13" sqref="X13"/>
    </sheetView>
  </sheetViews>
  <sheetFormatPr defaultColWidth="14" defaultRowHeight="12.75"/>
  <cols>
    <col min="1" max="1" width="7" style="1" customWidth="1"/>
    <col min="2" max="2" width="40.1428571428571" style="1" customWidth="1"/>
    <col min="3" max="3" width="20" style="1" customWidth="1"/>
    <col min="4" max="4" width="13" style="1" customWidth="1"/>
    <col min="5" max="5" width="19" style="1" customWidth="1"/>
    <col min="6" max="9" width="13" style="1" customWidth="1"/>
    <col min="10" max="10" width="35" style="1" customWidth="1"/>
    <col min="11" max="11" width="31" style="1" customWidth="1"/>
    <col min="12" max="12" width="13" style="1" customWidth="1"/>
    <col min="13" max="13" width="41" style="1" customWidth="1"/>
    <col min="14" max="14" width="40" style="3" customWidth="1"/>
    <col min="15" max="15" width="41.1428571428571" style="3" customWidth="1"/>
    <col min="16" max="16" width="25" style="1" customWidth="1"/>
    <col min="17" max="17" width="41" style="1" customWidth="1"/>
    <col min="18" max="18" width="31" style="1" customWidth="1"/>
    <col min="19" max="20" width="35" style="1" customWidth="1"/>
    <col min="21" max="22" width="31" style="1" customWidth="1"/>
    <col min="23" max="16384" width="14" style="1"/>
  </cols>
  <sheetData>
    <row r="1" s="1" customFormat="1" ht="15" customHeight="1" spans="1:22">
      <c r="A1" s="4" t="s">
        <v>0</v>
      </c>
      <c r="B1" s="5" t="s">
        <v>1</v>
      </c>
      <c r="C1" s="5" t="s">
        <v>158</v>
      </c>
      <c r="D1" s="5" t="s">
        <v>2</v>
      </c>
      <c r="E1" s="5" t="s">
        <v>3</v>
      </c>
      <c r="F1" s="5" t="s">
        <v>4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159</v>
      </c>
      <c r="O1" s="5" t="s">
        <v>160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23</v>
      </c>
    </row>
    <row r="2" s="2" customFormat="1" ht="52" customHeight="1" spans="1:22">
      <c r="A2" s="6">
        <v>1</v>
      </c>
      <c r="B2" s="6" t="s">
        <v>24</v>
      </c>
      <c r="C2" s="6" t="s">
        <v>161</v>
      </c>
      <c r="D2" s="6" t="s">
        <v>25</v>
      </c>
      <c r="E2" s="6" t="s">
        <v>26</v>
      </c>
      <c r="F2" s="6" t="s">
        <v>162</v>
      </c>
      <c r="G2" s="6">
        <v>6115.5</v>
      </c>
      <c r="H2" s="6" t="s">
        <v>163</v>
      </c>
      <c r="I2" s="6">
        <v>12108</v>
      </c>
      <c r="J2" s="6" t="s">
        <v>29</v>
      </c>
      <c r="K2" s="6" t="s">
        <v>30</v>
      </c>
      <c r="L2" s="6" t="s">
        <v>164</v>
      </c>
      <c r="M2" s="6" t="s">
        <v>31</v>
      </c>
      <c r="N2" s="7" t="s">
        <v>165</v>
      </c>
      <c r="O2" s="7" t="s">
        <v>166</v>
      </c>
      <c r="P2" s="6" t="s">
        <v>32</v>
      </c>
      <c r="Q2" s="6" t="s">
        <v>33</v>
      </c>
      <c r="R2" s="6" t="s">
        <v>34</v>
      </c>
      <c r="S2" s="6" t="s">
        <v>35</v>
      </c>
      <c r="T2" s="6" t="s">
        <v>36</v>
      </c>
      <c r="U2" s="6" t="s">
        <v>37</v>
      </c>
      <c r="V2" s="6" t="s">
        <v>40</v>
      </c>
    </row>
    <row r="3" s="2" customFormat="1" ht="52" customHeight="1" spans="1:22">
      <c r="A3" s="6">
        <v>2</v>
      </c>
      <c r="B3" s="8" t="s">
        <v>41</v>
      </c>
      <c r="C3" s="8" t="s">
        <v>167</v>
      </c>
      <c r="D3" s="8" t="s">
        <v>25</v>
      </c>
      <c r="E3" s="8" t="s">
        <v>42</v>
      </c>
      <c r="F3" s="8" t="s">
        <v>162</v>
      </c>
      <c r="G3" s="8">
        <v>460</v>
      </c>
      <c r="H3" s="8">
        <v>34.56</v>
      </c>
      <c r="I3" s="8">
        <f>G3*H3</f>
        <v>15897.6</v>
      </c>
      <c r="J3" s="8" t="s">
        <v>43</v>
      </c>
      <c r="K3" s="8" t="s">
        <v>168</v>
      </c>
      <c r="L3" s="6" t="s">
        <v>164</v>
      </c>
      <c r="M3" s="8" t="s">
        <v>45</v>
      </c>
      <c r="N3" s="7" t="s">
        <v>165</v>
      </c>
      <c r="O3" s="7" t="s">
        <v>169</v>
      </c>
      <c r="P3" s="8" t="s">
        <v>46</v>
      </c>
      <c r="Q3" s="8" t="s">
        <v>47</v>
      </c>
      <c r="R3" s="8" t="s">
        <v>48</v>
      </c>
      <c r="S3" s="8" t="s">
        <v>49</v>
      </c>
      <c r="T3" s="8" t="s">
        <v>50</v>
      </c>
      <c r="U3" s="8" t="s">
        <v>51</v>
      </c>
      <c r="V3" s="8" t="s">
        <v>40</v>
      </c>
    </row>
    <row r="4" s="2" customFormat="1" ht="52" customHeight="1" spans="1:22">
      <c r="A4" s="6">
        <v>3</v>
      </c>
      <c r="B4" s="6" t="s">
        <v>52</v>
      </c>
      <c r="C4" s="6" t="s">
        <v>170</v>
      </c>
      <c r="D4" s="6" t="s">
        <v>25</v>
      </c>
      <c r="E4" s="6" t="s">
        <v>53</v>
      </c>
      <c r="F4" s="6" t="s">
        <v>171</v>
      </c>
      <c r="G4" s="6">
        <v>325</v>
      </c>
      <c r="H4" s="6">
        <v>3.8</v>
      </c>
      <c r="I4" s="6">
        <f>G4*H4</f>
        <v>1235</v>
      </c>
      <c r="J4" s="6" t="s">
        <v>54</v>
      </c>
      <c r="K4" s="6" t="s">
        <v>172</v>
      </c>
      <c r="L4" s="6" t="s">
        <v>164</v>
      </c>
      <c r="M4" s="6" t="s">
        <v>56</v>
      </c>
      <c r="N4" s="7" t="s">
        <v>173</v>
      </c>
      <c r="O4" s="7" t="s">
        <v>174</v>
      </c>
      <c r="P4" s="6" t="s">
        <v>175</v>
      </c>
      <c r="Q4" s="6" t="s">
        <v>57</v>
      </c>
      <c r="R4" s="6" t="s">
        <v>34</v>
      </c>
      <c r="S4" s="6" t="s">
        <v>58</v>
      </c>
      <c r="T4" s="6" t="s">
        <v>59</v>
      </c>
      <c r="U4" s="6" t="s">
        <v>60</v>
      </c>
      <c r="V4" s="6" t="s">
        <v>40</v>
      </c>
    </row>
    <row r="5" s="2" customFormat="1" ht="52" customHeight="1" spans="1:22">
      <c r="A5" s="6">
        <v>4</v>
      </c>
      <c r="B5" s="8" t="s">
        <v>61</v>
      </c>
      <c r="C5" s="8" t="s">
        <v>176</v>
      </c>
      <c r="D5" s="8" t="s">
        <v>25</v>
      </c>
      <c r="E5" s="8" t="s">
        <v>62</v>
      </c>
      <c r="F5" s="8" t="s">
        <v>171</v>
      </c>
      <c r="G5" s="8">
        <v>654</v>
      </c>
      <c r="H5" s="8" t="s">
        <v>177</v>
      </c>
      <c r="I5" s="8">
        <v>12524</v>
      </c>
      <c r="J5" s="8" t="s">
        <v>63</v>
      </c>
      <c r="K5" s="8" t="s">
        <v>64</v>
      </c>
      <c r="L5" s="6" t="s">
        <v>164</v>
      </c>
      <c r="M5" s="8" t="s">
        <v>65</v>
      </c>
      <c r="N5" s="7" t="s">
        <v>173</v>
      </c>
      <c r="O5" s="7" t="s">
        <v>178</v>
      </c>
      <c r="P5" s="8" t="s">
        <v>66</v>
      </c>
      <c r="Q5" s="8" t="s">
        <v>67</v>
      </c>
      <c r="R5" s="8" t="s">
        <v>48</v>
      </c>
      <c r="S5" s="8" t="s">
        <v>68</v>
      </c>
      <c r="T5" s="8" t="s">
        <v>69</v>
      </c>
      <c r="U5" s="8" t="s">
        <v>70</v>
      </c>
      <c r="V5" s="8" t="s">
        <v>40</v>
      </c>
    </row>
    <row r="6" s="2" customFormat="1" ht="52" customHeight="1" spans="1:22">
      <c r="A6" s="6">
        <v>5</v>
      </c>
      <c r="B6" s="6" t="s">
        <v>71</v>
      </c>
      <c r="C6" s="6" t="s">
        <v>179</v>
      </c>
      <c r="D6" s="6" t="s">
        <v>25</v>
      </c>
      <c r="E6" s="6" t="s">
        <v>72</v>
      </c>
      <c r="F6" s="6" t="s">
        <v>171</v>
      </c>
      <c r="G6" s="6">
        <v>6442</v>
      </c>
      <c r="H6" s="6">
        <v>6.6</v>
      </c>
      <c r="I6" s="6">
        <f>G6*H6</f>
        <v>42517.2</v>
      </c>
      <c r="J6" s="6" t="s">
        <v>73</v>
      </c>
      <c r="K6" s="6" t="s">
        <v>180</v>
      </c>
      <c r="L6" s="6" t="s">
        <v>164</v>
      </c>
      <c r="M6" s="6" t="s">
        <v>74</v>
      </c>
      <c r="N6" s="7" t="s">
        <v>181</v>
      </c>
      <c r="O6" s="7" t="s">
        <v>182</v>
      </c>
      <c r="P6" s="6" t="s">
        <v>183</v>
      </c>
      <c r="Q6" s="6" t="s">
        <v>184</v>
      </c>
      <c r="R6" s="6" t="s">
        <v>48</v>
      </c>
      <c r="S6" s="6" t="s">
        <v>76</v>
      </c>
      <c r="T6" s="6" t="s">
        <v>69</v>
      </c>
      <c r="U6" s="6" t="s">
        <v>77</v>
      </c>
      <c r="V6" s="6" t="s">
        <v>40</v>
      </c>
    </row>
    <row r="7" s="2" customFormat="1" ht="52" customHeight="1" spans="1:22">
      <c r="A7" s="6">
        <v>6</v>
      </c>
      <c r="B7" s="8" t="s">
        <v>78</v>
      </c>
      <c r="C7" s="8" t="s">
        <v>185</v>
      </c>
      <c r="D7" s="8" t="s">
        <v>25</v>
      </c>
      <c r="E7" s="8" t="s">
        <v>79</v>
      </c>
      <c r="F7" s="8" t="s">
        <v>171</v>
      </c>
      <c r="G7" s="8">
        <v>659</v>
      </c>
      <c r="H7" s="8">
        <v>3.1</v>
      </c>
      <c r="I7" s="8">
        <f>G7*H7</f>
        <v>2042.9</v>
      </c>
      <c r="J7" s="8" t="s">
        <v>80</v>
      </c>
      <c r="K7" s="8" t="s">
        <v>186</v>
      </c>
      <c r="L7" s="6" t="s">
        <v>164</v>
      </c>
      <c r="M7" s="8" t="s">
        <v>82</v>
      </c>
      <c r="N7" s="7" t="s">
        <v>187</v>
      </c>
      <c r="O7" s="7" t="s">
        <v>188</v>
      </c>
      <c r="P7" s="8" t="s">
        <v>189</v>
      </c>
      <c r="Q7" s="8" t="s">
        <v>84</v>
      </c>
      <c r="R7" s="8" t="s">
        <v>34</v>
      </c>
      <c r="S7" s="8" t="s">
        <v>85</v>
      </c>
      <c r="T7" s="8" t="s">
        <v>36</v>
      </c>
      <c r="U7" s="8" t="s">
        <v>86</v>
      </c>
      <c r="V7" s="8" t="s">
        <v>40</v>
      </c>
    </row>
    <row r="8" s="2" customFormat="1" ht="52" customHeight="1" spans="1:22">
      <c r="A8" s="6">
        <v>7</v>
      </c>
      <c r="B8" s="6" t="s">
        <v>87</v>
      </c>
      <c r="C8" s="6" t="s">
        <v>190</v>
      </c>
      <c r="D8" s="6" t="s">
        <v>88</v>
      </c>
      <c r="E8" s="6" t="s">
        <v>26</v>
      </c>
      <c r="F8" s="6" t="s">
        <v>162</v>
      </c>
      <c r="G8" s="6">
        <v>4050</v>
      </c>
      <c r="H8" s="6" t="s">
        <v>191</v>
      </c>
      <c r="I8" s="6">
        <v>20310</v>
      </c>
      <c r="J8" s="6" t="s">
        <v>80</v>
      </c>
      <c r="K8" s="8" t="s">
        <v>186</v>
      </c>
      <c r="L8" s="6" t="s">
        <v>164</v>
      </c>
      <c r="M8" s="6" t="s">
        <v>89</v>
      </c>
      <c r="N8" s="7" t="s">
        <v>165</v>
      </c>
      <c r="O8" s="7" t="s">
        <v>192</v>
      </c>
      <c r="P8" s="6" t="s">
        <v>193</v>
      </c>
      <c r="Q8" s="6" t="s">
        <v>194</v>
      </c>
      <c r="R8" s="6" t="s">
        <v>34</v>
      </c>
      <c r="S8" s="6" t="s">
        <v>91</v>
      </c>
      <c r="T8" s="6" t="s">
        <v>36</v>
      </c>
      <c r="U8" s="6" t="s">
        <v>92</v>
      </c>
      <c r="V8" s="6" t="s">
        <v>40</v>
      </c>
    </row>
    <row r="9" s="2" customFormat="1" ht="52" customHeight="1" spans="1:22">
      <c r="A9" s="6">
        <v>8</v>
      </c>
      <c r="B9" s="8" t="s">
        <v>93</v>
      </c>
      <c r="C9" s="8" t="s">
        <v>195</v>
      </c>
      <c r="D9" s="8" t="s">
        <v>25</v>
      </c>
      <c r="E9" s="8" t="s">
        <v>26</v>
      </c>
      <c r="F9" s="8" t="s">
        <v>162</v>
      </c>
      <c r="G9" s="8">
        <v>3950</v>
      </c>
      <c r="H9" s="8">
        <v>3.5</v>
      </c>
      <c r="I9" s="8">
        <v>13825</v>
      </c>
      <c r="J9" s="8" t="s">
        <v>94</v>
      </c>
      <c r="K9" s="8" t="s">
        <v>186</v>
      </c>
      <c r="L9" s="6" t="s">
        <v>164</v>
      </c>
      <c r="M9" s="8" t="s">
        <v>95</v>
      </c>
      <c r="N9" s="7" t="s">
        <v>165</v>
      </c>
      <c r="O9" s="7" t="s">
        <v>166</v>
      </c>
      <c r="P9" s="8" t="s">
        <v>196</v>
      </c>
      <c r="Q9" s="8" t="s">
        <v>197</v>
      </c>
      <c r="R9" s="8" t="s">
        <v>34</v>
      </c>
      <c r="S9" s="8" t="s">
        <v>97</v>
      </c>
      <c r="T9" s="8" t="s">
        <v>36</v>
      </c>
      <c r="U9" s="8" t="s">
        <v>86</v>
      </c>
      <c r="V9" s="8" t="s">
        <v>40</v>
      </c>
    </row>
    <row r="10" s="2" customFormat="1" ht="52" customHeight="1" spans="1:22">
      <c r="A10" s="6">
        <v>9</v>
      </c>
      <c r="B10" s="6" t="s">
        <v>98</v>
      </c>
      <c r="C10" s="6" t="s">
        <v>198</v>
      </c>
      <c r="D10" s="6" t="s">
        <v>25</v>
      </c>
      <c r="E10" s="6" t="s">
        <v>99</v>
      </c>
      <c r="F10" s="6" t="s">
        <v>198</v>
      </c>
      <c r="G10" s="6">
        <v>862</v>
      </c>
      <c r="H10" s="6">
        <v>4</v>
      </c>
      <c r="I10" s="6">
        <v>3448</v>
      </c>
      <c r="J10" s="6" t="s">
        <v>199</v>
      </c>
      <c r="K10" s="6" t="s">
        <v>200</v>
      </c>
      <c r="L10" s="6" t="s">
        <v>164</v>
      </c>
      <c r="M10" s="6" t="s">
        <v>101</v>
      </c>
      <c r="N10" s="7" t="s">
        <v>201</v>
      </c>
      <c r="O10" s="7" t="s">
        <v>202</v>
      </c>
      <c r="P10" s="6" t="s">
        <v>203</v>
      </c>
      <c r="Q10" s="6" t="s">
        <v>204</v>
      </c>
      <c r="R10" s="6" t="s">
        <v>34</v>
      </c>
      <c r="S10" s="6" t="s">
        <v>103</v>
      </c>
      <c r="T10" s="6" t="s">
        <v>36</v>
      </c>
      <c r="U10" s="6" t="s">
        <v>104</v>
      </c>
      <c r="V10" s="6" t="s">
        <v>40</v>
      </c>
    </row>
    <row r="11" s="2" customFormat="1" ht="52" customHeight="1" spans="1:22">
      <c r="A11" s="6">
        <v>10</v>
      </c>
      <c r="B11" s="8" t="s">
        <v>105</v>
      </c>
      <c r="C11" s="8" t="s">
        <v>205</v>
      </c>
      <c r="D11" s="8" t="s">
        <v>25</v>
      </c>
      <c r="E11" s="8" t="s">
        <v>79</v>
      </c>
      <c r="F11" s="8" t="s">
        <v>171</v>
      </c>
      <c r="G11" s="8">
        <v>857</v>
      </c>
      <c r="H11" s="8">
        <v>3.5</v>
      </c>
      <c r="I11" s="8">
        <f>G11*H11</f>
        <v>2999.5</v>
      </c>
      <c r="J11" s="8" t="s">
        <v>206</v>
      </c>
      <c r="K11" s="8" t="s">
        <v>64</v>
      </c>
      <c r="L11" s="6" t="s">
        <v>164</v>
      </c>
      <c r="M11" s="8" t="s">
        <v>107</v>
      </c>
      <c r="N11" s="7" t="s">
        <v>207</v>
      </c>
      <c r="O11" s="7" t="s">
        <v>208</v>
      </c>
      <c r="P11" s="8" t="s">
        <v>209</v>
      </c>
      <c r="Q11" s="8" t="s">
        <v>210</v>
      </c>
      <c r="R11" s="8" t="s">
        <v>34</v>
      </c>
      <c r="S11" s="8" t="s">
        <v>109</v>
      </c>
      <c r="T11" s="8" t="s">
        <v>36</v>
      </c>
      <c r="U11" s="8" t="s">
        <v>110</v>
      </c>
      <c r="V11" s="8" t="s">
        <v>40</v>
      </c>
    </row>
    <row r="12" s="2" customFormat="1" ht="52" customHeight="1" spans="1:22">
      <c r="A12" s="6">
        <v>11</v>
      </c>
      <c r="B12" s="6" t="s">
        <v>125</v>
      </c>
      <c r="C12" s="6" t="s">
        <v>211</v>
      </c>
      <c r="D12" s="6" t="s">
        <v>126</v>
      </c>
      <c r="E12" s="6" t="s">
        <v>127</v>
      </c>
      <c r="F12" s="6" t="s">
        <v>171</v>
      </c>
      <c r="G12" s="6">
        <v>12000</v>
      </c>
      <c r="H12" s="6" t="s">
        <v>212</v>
      </c>
      <c r="I12" s="6">
        <v>23964</v>
      </c>
      <c r="J12" s="6" t="s">
        <v>128</v>
      </c>
      <c r="K12" s="6" t="s">
        <v>200</v>
      </c>
      <c r="L12" s="6" t="s">
        <v>164</v>
      </c>
      <c r="M12" s="6" t="s">
        <v>129</v>
      </c>
      <c r="N12" s="7" t="s">
        <v>213</v>
      </c>
      <c r="O12" s="7" t="s">
        <v>214</v>
      </c>
      <c r="P12" s="6" t="s">
        <v>215</v>
      </c>
      <c r="Q12" s="6" t="s">
        <v>130</v>
      </c>
      <c r="R12" s="6" t="s">
        <v>34</v>
      </c>
      <c r="S12" s="6" t="s">
        <v>131</v>
      </c>
      <c r="T12" s="6" t="s">
        <v>36</v>
      </c>
      <c r="U12" s="6" t="s">
        <v>132</v>
      </c>
      <c r="V12" s="6" t="s">
        <v>40</v>
      </c>
    </row>
    <row r="13" s="2" customFormat="1" ht="52" customHeight="1" spans="1:22">
      <c r="A13" s="6">
        <v>12</v>
      </c>
      <c r="B13" s="8" t="s">
        <v>133</v>
      </c>
      <c r="C13" s="8" t="s">
        <v>216</v>
      </c>
      <c r="D13" s="8" t="s">
        <v>118</v>
      </c>
      <c r="E13" s="8" t="s">
        <v>134</v>
      </c>
      <c r="F13" s="8" t="s">
        <v>171</v>
      </c>
      <c r="G13" s="8">
        <v>2876</v>
      </c>
      <c r="H13" s="8">
        <v>3.5</v>
      </c>
      <c r="I13" s="8">
        <f>G13*H13</f>
        <v>10066</v>
      </c>
      <c r="J13" s="8" t="s">
        <v>135</v>
      </c>
      <c r="K13" s="8" t="s">
        <v>186</v>
      </c>
      <c r="L13" s="6" t="s">
        <v>164</v>
      </c>
      <c r="M13" s="8" t="s">
        <v>136</v>
      </c>
      <c r="N13" s="7" t="s">
        <v>187</v>
      </c>
      <c r="O13" s="7" t="s">
        <v>217</v>
      </c>
      <c r="P13" s="8" t="s">
        <v>66</v>
      </c>
      <c r="Q13" s="8" t="s">
        <v>218</v>
      </c>
      <c r="R13" s="8" t="s">
        <v>34</v>
      </c>
      <c r="S13" s="8" t="s">
        <v>138</v>
      </c>
      <c r="T13" s="8" t="s">
        <v>36</v>
      </c>
      <c r="U13" s="8" t="s">
        <v>139</v>
      </c>
      <c r="V13" s="8" t="s">
        <v>40</v>
      </c>
    </row>
    <row r="14" s="2" customFormat="1" ht="52" customHeight="1" spans="1:22">
      <c r="A14" s="6">
        <v>13</v>
      </c>
      <c r="B14" s="6" t="s">
        <v>140</v>
      </c>
      <c r="C14" s="6" t="s">
        <v>219</v>
      </c>
      <c r="D14" s="6" t="s">
        <v>118</v>
      </c>
      <c r="E14" s="6" t="s">
        <v>53</v>
      </c>
      <c r="F14" s="6" t="s">
        <v>171</v>
      </c>
      <c r="G14" s="6">
        <v>450</v>
      </c>
      <c r="H14" s="6">
        <v>6</v>
      </c>
      <c r="I14" s="6"/>
      <c r="J14" s="8" t="s">
        <v>63</v>
      </c>
      <c r="K14" s="8" t="s">
        <v>186</v>
      </c>
      <c r="L14" s="6" t="s">
        <v>164</v>
      </c>
      <c r="M14" s="6" t="s">
        <v>141</v>
      </c>
      <c r="N14" s="7" t="s">
        <v>173</v>
      </c>
      <c r="O14" s="7" t="s">
        <v>220</v>
      </c>
      <c r="P14" s="8" t="s">
        <v>66</v>
      </c>
      <c r="Q14" s="6" t="s">
        <v>221</v>
      </c>
      <c r="R14" s="6" t="s">
        <v>34</v>
      </c>
      <c r="S14" s="6" t="s">
        <v>143</v>
      </c>
      <c r="T14" s="6" t="s">
        <v>36</v>
      </c>
      <c r="U14" s="6" t="s">
        <v>144</v>
      </c>
      <c r="V14" s="6" t="s">
        <v>40</v>
      </c>
    </row>
    <row r="15" s="2" customFormat="1" ht="52" customHeight="1" spans="1:22">
      <c r="A15" s="6">
        <v>14</v>
      </c>
      <c r="B15" s="8" t="s">
        <v>145</v>
      </c>
      <c r="C15" s="8" t="s">
        <v>222</v>
      </c>
      <c r="D15" s="8" t="s">
        <v>146</v>
      </c>
      <c r="E15" s="8" t="s">
        <v>147</v>
      </c>
      <c r="F15" s="8" t="s">
        <v>171</v>
      </c>
      <c r="G15" s="8">
        <v>380</v>
      </c>
      <c r="H15" s="8">
        <v>6</v>
      </c>
      <c r="I15" s="8"/>
      <c r="J15" s="8" t="s">
        <v>148</v>
      </c>
      <c r="K15" s="8" t="s">
        <v>186</v>
      </c>
      <c r="L15" s="6" t="s">
        <v>164</v>
      </c>
      <c r="M15" s="8" t="s">
        <v>149</v>
      </c>
      <c r="N15" s="7" t="s">
        <v>207</v>
      </c>
      <c r="O15" s="7" t="s">
        <v>220</v>
      </c>
      <c r="P15" s="8" t="s">
        <v>66</v>
      </c>
      <c r="Q15" s="8" t="s">
        <v>223</v>
      </c>
      <c r="R15" s="8" t="s">
        <v>34</v>
      </c>
      <c r="S15" s="8" t="s">
        <v>151</v>
      </c>
      <c r="T15" s="8" t="s">
        <v>36</v>
      </c>
      <c r="U15" s="8" t="s">
        <v>152</v>
      </c>
      <c r="V15" s="8" t="s">
        <v>40</v>
      </c>
    </row>
    <row r="16" s="2" customFormat="1" ht="52" customHeight="1" spans="1:22">
      <c r="A16" s="6">
        <v>15</v>
      </c>
      <c r="B16" s="6" t="s">
        <v>153</v>
      </c>
      <c r="C16" s="6" t="s">
        <v>224</v>
      </c>
      <c r="D16" s="6" t="s">
        <v>146</v>
      </c>
      <c r="E16" s="6" t="s">
        <v>154</v>
      </c>
      <c r="F16" s="6" t="s">
        <v>171</v>
      </c>
      <c r="G16" s="6">
        <v>275</v>
      </c>
      <c r="H16" s="6">
        <v>6</v>
      </c>
      <c r="I16" s="6"/>
      <c r="J16" s="8" t="s">
        <v>63</v>
      </c>
      <c r="K16" s="8" t="s">
        <v>186</v>
      </c>
      <c r="L16" s="6" t="s">
        <v>164</v>
      </c>
      <c r="M16" s="6" t="s">
        <v>155</v>
      </c>
      <c r="N16" s="7" t="s">
        <v>225</v>
      </c>
      <c r="O16" s="7" t="s">
        <v>226</v>
      </c>
      <c r="P16" s="8" t="s">
        <v>66</v>
      </c>
      <c r="Q16" s="6" t="s">
        <v>184</v>
      </c>
      <c r="R16" s="6" t="s">
        <v>34</v>
      </c>
      <c r="S16" s="6" t="s">
        <v>156</v>
      </c>
      <c r="T16" s="6" t="s">
        <v>36</v>
      </c>
      <c r="U16" s="6" t="s">
        <v>157</v>
      </c>
      <c r="V16" s="6" t="s">
        <v>40</v>
      </c>
    </row>
    <row r="17" ht="16.5" spans="12:12">
      <c r="L17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声屏障画册案例汇总</vt:lpstr>
      <vt:lpstr>声屏障画册案例汇总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许星</cp:lastModifiedBy>
  <dcterms:created xsi:type="dcterms:W3CDTF">2026-06-12T02:27:00Z</dcterms:created>
  <dcterms:modified xsi:type="dcterms:W3CDTF">2026-06-15T08:05:30Z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{"Label":"1","ContentProducer":"001191110102MACQD9K64010000","ProduceID":"7650329907663195314","ReservedCode1":"","ContentPropagator":"","PropagateID":"","ReservedCode2":""}</vt:lpwstr>
  </property>
  <property fmtid="{D5CDD505-2E9C-101B-9397-08002B2CF9AE}" pid="3" name="ICV">
    <vt:lpwstr>BF2CEE8D331640D8B5148D9E51D7FF44_12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